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<sst xmlns="http://schemas.openxmlformats.org/spreadsheetml/2006/main" count="234" uniqueCount="165">
  <si>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</si>
  <si>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</si>
  <si>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</si>
  <si>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</si>
  <si>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</si>
  <si>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</si>
  <si>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</si>
  <si>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</si>
  <si>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</si>
  <si>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</si>
  <si>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</si>
  <si>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C5, C19, C25, C26, C29</t>
  </si>
  <si>
    <t>CAP CER 0.1UF 50V X5R 0603</t>
  </si>
  <si>
    <t>Cap-0603</t>
  </si>
  <si>
    <t>CC0603KRX5R9BB104</t>
  </si>
  <si>
    <t>Yageo</t>
  </si>
  <si>
    <t>100nF</t>
  </si>
  <si>
    <t>C2, C6, C7, C17, C18, C20, C21, C28, C30</t>
  </si>
  <si>
    <t>CAP CER 10UF 25V X5R 0603</t>
  </si>
  <si>
    <t>CL10A106MA8NRNC</t>
  </si>
  <si>
    <t>Samsung</t>
  </si>
  <si>
    <t>10uF</t>
  </si>
  <si>
    <t>C3, C9</t>
  </si>
  <si>
    <t>CAP CER 0.068UF 50V X7R 0603</t>
  </si>
  <si>
    <t>CC0603KRX7R9BB683</t>
  </si>
  <si>
    <t>68nF</t>
  </si>
  <si>
    <t>C4, C16</t>
  </si>
  <si>
    <t>CAP CER 0.47UF 25V X5R 0402</t>
  </si>
  <si>
    <t>Cap-0402</t>
  </si>
  <si>
    <t>CL05A474KA5NNNC</t>
  </si>
  <si>
    <t>470nF</t>
  </si>
  <si>
    <t>C8, C15</t>
  </si>
  <si>
    <t>50V 22nF B ±10% 0402 Multilayer Ceramic Capacitors MLCC - SMD/SMT ROHS</t>
  </si>
  <si>
    <t>GRM155B31H223KA12D</t>
  </si>
  <si>
    <t>Murata Electronics</t>
  </si>
  <si>
    <t>22nF</t>
  </si>
  <si>
    <t>C10, C13</t>
  </si>
  <si>
    <t>CAP CER 10000PF 25V X5R 0402</t>
  </si>
  <si>
    <t>CC0402KRX5R8BB103</t>
  </si>
  <si>
    <t>0.01uF</t>
  </si>
  <si>
    <t>C11</t>
  </si>
  <si>
    <t>CAP CER 0.047UF 50V X7R 0603</t>
  </si>
  <si>
    <t>CC0603KRX7R9BB473</t>
  </si>
  <si>
    <t>47nF</t>
  </si>
  <si>
    <t>C12</t>
  </si>
  <si>
    <t>CAP CER 1800PF 50V C0G/NP0 0603</t>
  </si>
  <si>
    <t>CL10C182JB8NNNC</t>
  </si>
  <si>
    <t>1.8nF</t>
  </si>
  <si>
    <t>C14</t>
  </si>
  <si>
    <t>CAP CER 100PF 50V C0G/NPO 0603</t>
  </si>
  <si>
    <t>CC0603JRNPO9BN101</t>
  </si>
  <si>
    <t>100pF</t>
  </si>
  <si>
    <t>C22, C23</t>
  </si>
  <si>
    <t>CAP CER 22UF 10V X7R 0805</t>
  </si>
  <si>
    <t>Cap-0805</t>
  </si>
  <si>
    <t>GRM21BZ71A226ME15L</t>
  </si>
  <si>
    <t>Murata</t>
  </si>
  <si>
    <t>22uF</t>
  </si>
  <si>
    <t>C24</t>
  </si>
  <si>
    <t>CAP CER 10UF 25V X5R 0805</t>
  </si>
  <si>
    <t>CC0805KKX5R8BB106</t>
  </si>
  <si>
    <t>C27</t>
  </si>
  <si>
    <t>CAP CER 1UF 10V X5R 0603</t>
  </si>
  <si>
    <t>CC0603KRX5R6BB105</t>
  </si>
  <si>
    <t>1uF</t>
  </si>
  <si>
    <t>(TVS/ESD)</t>
  </si>
  <si>
    <t>D1, D2, D3, D4, D5</t>
  </si>
  <si>
    <t>5A 60W 12V 3.6V 3.3V SOD-523 ESD and Surge Protection (TVS/ESD) ROHS</t>
  </si>
  <si>
    <t>SOD-523 (Bi-Directional)</t>
  </si>
  <si>
    <t>ESD5Z3.3C</t>
  </si>
  <si>
    <t>MDD(Microdiode Semiconductor)</t>
  </si>
  <si>
    <t>-</t>
  </si>
  <si>
    <t>Connector</t>
  </si>
  <si>
    <t>J1</t>
  </si>
  <si>
    <t>1x6P SH 1 1mm 6 SMD,P=1mm Wire To Board / Wire To Wire Connector ROHS</t>
  </si>
  <si>
    <t>Custom</t>
  </si>
  <si>
    <t>C145963</t>
  </si>
  <si>
    <t>BOOMELE</t>
  </si>
  <si>
    <t>SD Card Connector</t>
  </si>
  <si>
    <t>J2</t>
  </si>
  <si>
    <t>-40℃~+90℃ 1.85mm Card Slot MicroSD card (TF card) Self-bouncing SMD SD Card / Memory Card Connector ROHS</t>
  </si>
  <si>
    <t>GT-TF003-H0185-01</t>
  </si>
  <si>
    <t>G-Switch</t>
  </si>
  <si>
    <t>Male Header</t>
  </si>
  <si>
    <t>J3</t>
  </si>
  <si>
    <t>Gold 250V 3A Straight Square Pins 2.5mm 6P 260℃ 6mm -40℃~+105℃ 3mm 2.54mm Plugin Black Brass 1x6P Plugin,P=2.54mm Pin Headers ROHS</t>
  </si>
  <si>
    <t>HDR1X6_</t>
  </si>
  <si>
    <t>X6511WV-06H-C60D30</t>
  </si>
  <si>
    <t>XKB</t>
  </si>
  <si>
    <t>Coil</t>
  </si>
  <si>
    <t>L1</t>
  </si>
  <si>
    <t>RX 1 COIL 1 LYR 13UH</t>
  </si>
  <si>
    <t>WR483245-15F5-G</t>
  </si>
  <si>
    <t>TDK</t>
  </si>
  <si>
    <t>13uH</t>
  </si>
  <si>
    <t>LED</t>
  </si>
  <si>
    <t>LED1</t>
  </si>
  <si>
    <t>Colorless transparent lens -40℃~+85℃ Positive Stick Red,Green 120° SMD-4P,3.5x2.8mm LED Indication - Discrete ROHS</t>
  </si>
  <si>
    <t>A-SC6302R6AGHC-A03-2T</t>
  </si>
  <si>
    <t>Amicc</t>
  </si>
  <si>
    <t>Mosfet</t>
  </si>
  <si>
    <t>Q3, Q4</t>
  </si>
  <si>
    <t>30V 5.8A 32mΩ@10V,5.8A 1.4W 1.4V@250uA N Channel SOT-23 MOSFETs ROHS</t>
  </si>
  <si>
    <t>sot-23</t>
  </si>
  <si>
    <t>AO3400A</t>
  </si>
  <si>
    <t>BORN</t>
  </si>
  <si>
    <t>Resistor</t>
  </si>
  <si>
    <t>R1</t>
  </si>
  <si>
    <t>RES 20K OHM 1% 1/16W 0402</t>
  </si>
  <si>
    <t>Res-0402</t>
  </si>
  <si>
    <t>RC0402FR-0720KL</t>
  </si>
  <si>
    <t>20K</t>
  </si>
  <si>
    <t>Resistors</t>
  </si>
  <si>
    <t>R2</t>
  </si>
  <si>
    <t>RES 0 OHM JUMPER 1/16W 0402</t>
  </si>
  <si>
    <t>RC0402FR-070RL</t>
  </si>
  <si>
    <t>0R</t>
  </si>
  <si>
    <t>R3</t>
  </si>
  <si>
    <t>RES 100 OHM 1% 1/16W 0402</t>
  </si>
  <si>
    <t>RC0402FR-07100RL</t>
  </si>
  <si>
    <t>100R</t>
  </si>
  <si>
    <t>R4, R9, R10, R11, R12, R13, R23</t>
  </si>
  <si>
    <t>RES 10K OHM 1% 1/16W 0402</t>
  </si>
  <si>
    <t>RC0402FR-0710KL</t>
  </si>
  <si>
    <t>10K</t>
  </si>
  <si>
    <t>R5, R6</t>
  </si>
  <si>
    <t>RES 100K OHM 1% 1/16W 0402</t>
  </si>
  <si>
    <t>RC0402FR-07100KL</t>
  </si>
  <si>
    <t>100K</t>
  </si>
  <si>
    <t>R7</t>
  </si>
  <si>
    <t>RES 200 OHM 1% 1/16W 0402</t>
  </si>
  <si>
    <t>RC0402FR-07200RL</t>
  </si>
  <si>
    <t>200R</t>
  </si>
  <si>
    <t>R8</t>
  </si>
  <si>
    <t>RES SMD 10K Ohm 1% 1/10W 0603</t>
  </si>
  <si>
    <t>Res-0603</t>
  </si>
  <si>
    <t>RC0603FR-0710KL</t>
  </si>
  <si>
    <t>R24</t>
  </si>
  <si>
    <t>RES 470 OHM 1% 1/10W 0603</t>
  </si>
  <si>
    <t>RC0603FR-07470RL</t>
  </si>
  <si>
    <t>470R</t>
  </si>
  <si>
    <t>R25, R26</t>
  </si>
  <si>
    <t>RES 1K OHM 1% 1/16W 0402</t>
  </si>
  <si>
    <t>RC0402FR-071KL</t>
  </si>
  <si>
    <t>1K</t>
  </si>
  <si>
    <t>Switch</t>
  </si>
  <si>
    <t>SW1, SW2</t>
  </si>
  <si>
    <t>None Without bracket 50mA 3.05mm 100000 Times 12V 160gf 2.5mm 1.5mm Round Button Standing paste SPST SMD Tactile Switches ROHS</t>
  </si>
  <si>
    <t>GT-TC032A-H015-L1</t>
  </si>
  <si>
    <t>IC</t>
  </si>
  <si>
    <t>U1</t>
  </si>
  <si>
    <t>Wireless Power Receiver PMIC 20-VQFN (3.5x4.5)</t>
  </si>
  <si>
    <t>20-VQFN (3.5x4.5)</t>
  </si>
  <si>
    <t>BQ51013BRHLR</t>
  </si>
  <si>
    <t>Texas Instruments</t>
  </si>
  <si>
    <t>U2</t>
  </si>
  <si>
    <t>SOT-223 Linear Voltage Regulators (LDO) ROHS</t>
  </si>
  <si>
    <t>SOT- 223</t>
  </si>
  <si>
    <t>AMS1117-3.3</t>
  </si>
  <si>
    <t>GUOXIN JIAPIN SEMICONDUCTOR</t>
  </si>
  <si>
    <t>U3</t>
  </si>
  <si>
    <t>RX TXRX MOD WIFI TRACE ANT SMD</t>
  </si>
  <si>
    <t>38-SMD Module</t>
  </si>
  <si>
    <t>ESP32-WROOM-32E-N16</t>
  </si>
  <si>
    <t>Espressif Systems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</si>
</sst>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4"/>
  <sheetViews>
    <sheetView tabSelected="1" topLeftCell="C11" workbookViewId="0">
      <selection activeCell="M15" sqref="M15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0" customWidth="1"/>
    <col min="7" max="7" width="25.2857142857143" customWidth="1"/>
    <col min="8" max="8" width="21.4285714285714" customWidth="1"/>
    <col min="9" max="9" width="6.14285714285714" customWidth="1"/>
    <col min="10" max="10" width="8.71428571428571" customWidth="1"/>
    <col min="11" max="11" width="8.57142857142857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6</v>
      </c>
      <c r="K3" s="9"/>
    </row>
    <row r="4" ht="15.75" spans="1:11">
      <c r="A4" s="2"/>
      <c r="B4" s="7">
        <f t="shared" ref="B4:B34" si="0">ROW(B4)-ROW($B$2)</f>
        <v>2</v>
      </c>
      <c r="C4" s="8" t="s">
        <v>10</v>
      </c>
      <c r="D4" s="11" t="s">
        <v>17</v>
      </c>
      <c r="E4" s="12" t="s">
        <v>18</v>
      </c>
      <c r="F4" s="11" t="s">
        <v>13</v>
      </c>
      <c r="G4" s="12" t="s">
        <v>19</v>
      </c>
      <c r="H4" s="11" t="s">
        <v>20</v>
      </c>
      <c r="I4" s="12" t="s">
        <v>21</v>
      </c>
      <c r="J4" s="11">
        <v>9</v>
      </c>
      <c r="K4" s="11"/>
    </row>
    <row r="5" ht="15.75" spans="1:11">
      <c r="A5" s="2"/>
      <c r="B5" s="7">
        <f t="shared" si="0"/>
        <v>3</v>
      </c>
      <c r="C5" s="8" t="s">
        <v>10</v>
      </c>
      <c r="D5" s="9" t="s">
        <v>22</v>
      </c>
      <c r="E5" s="10" t="s">
        <v>23</v>
      </c>
      <c r="F5" s="9" t="s">
        <v>13</v>
      </c>
      <c r="G5" s="10" t="s">
        <v>24</v>
      </c>
      <c r="H5" s="9" t="s">
        <v>15</v>
      </c>
      <c r="I5" s="10" t="s">
        <v>25</v>
      </c>
      <c r="J5" s="9">
        <v>2</v>
      </c>
      <c r="K5" s="9"/>
    </row>
    <row r="6" ht="15.75" spans="1:11">
      <c r="A6" s="2"/>
      <c r="B6" s="7">
        <f t="shared" si="0"/>
        <v>4</v>
      </c>
      <c r="C6" s="8" t="s">
        <v>10</v>
      </c>
      <c r="D6" s="11" t="s">
        <v>26</v>
      </c>
      <c r="E6" s="12" t="s">
        <v>27</v>
      </c>
      <c r="F6" s="11" t="s">
        <v>28</v>
      </c>
      <c r="G6" s="12" t="s">
        <v>29</v>
      </c>
      <c r="H6" s="11" t="s">
        <v>20</v>
      </c>
      <c r="I6" s="12" t="s">
        <v>30</v>
      </c>
      <c r="J6" s="11">
        <v>2</v>
      </c>
      <c r="K6" s="11"/>
    </row>
    <row r="7" ht="36.75" spans="1:11">
      <c r="A7" s="2"/>
      <c r="B7" s="7">
        <f t="shared" si="0"/>
        <v>5</v>
      </c>
      <c r="C7" s="8" t="s">
        <v>10</v>
      </c>
      <c r="D7" s="9" t="s">
        <v>31</v>
      </c>
      <c r="E7" s="10" t="s">
        <v>32</v>
      </c>
      <c r="F7" s="9" t="s">
        <v>28</v>
      </c>
      <c r="G7" s="10" t="s">
        <v>33</v>
      </c>
      <c r="H7" s="9" t="s">
        <v>34</v>
      </c>
      <c r="I7" s="10" t="s">
        <v>35</v>
      </c>
      <c r="J7" s="9">
        <v>2</v>
      </c>
      <c r="K7" s="9"/>
    </row>
    <row r="8" ht="15.75" spans="1:11">
      <c r="A8" s="2"/>
      <c r="B8" s="7">
        <f t="shared" si="0"/>
        <v>6</v>
      </c>
      <c r="C8" s="8" t="s">
        <v>10</v>
      </c>
      <c r="D8" s="11" t="s">
        <v>36</v>
      </c>
      <c r="E8" s="12" t="s">
        <v>37</v>
      </c>
      <c r="F8" s="11" t="s">
        <v>28</v>
      </c>
      <c r="G8" s="12" t="s">
        <v>38</v>
      </c>
      <c r="H8" s="11" t="s">
        <v>15</v>
      </c>
      <c r="I8" s="12" t="s">
        <v>39</v>
      </c>
      <c r="J8" s="11">
        <v>2</v>
      </c>
      <c r="K8" s="11"/>
    </row>
    <row r="9" ht="15.75" spans="1:11">
      <c r="A9" s="2"/>
      <c r="B9" s="7">
        <f t="shared" si="0"/>
        <v>7</v>
      </c>
      <c r="C9" s="8" t="s">
        <v>10</v>
      </c>
      <c r="D9" s="9" t="s">
        <v>40</v>
      </c>
      <c r="E9" s="10" t="s">
        <v>41</v>
      </c>
      <c r="F9" s="9" t="s">
        <v>13</v>
      </c>
      <c r="G9" s="10" t="s">
        <v>42</v>
      </c>
      <c r="H9" s="9" t="s">
        <v>15</v>
      </c>
      <c r="I9" s="10" t="s">
        <v>43</v>
      </c>
      <c r="J9" s="9">
        <v>1</v>
      </c>
      <c r="K9" s="9"/>
    </row>
    <row r="10" ht="15.75" spans="1:11">
      <c r="A10" s="2"/>
      <c r="B10" s="7">
        <f t="shared" si="0"/>
        <v>8</v>
      </c>
      <c r="C10" s="8" t="s">
        <v>10</v>
      </c>
      <c r="D10" s="11" t="s">
        <v>44</v>
      </c>
      <c r="E10" s="12" t="s">
        <v>45</v>
      </c>
      <c r="F10" s="11" t="s">
        <v>13</v>
      </c>
      <c r="G10" s="12" t="s">
        <v>46</v>
      </c>
      <c r="H10" s="11" t="s">
        <v>20</v>
      </c>
      <c r="I10" s="12" t="s">
        <v>47</v>
      </c>
      <c r="J10" s="11">
        <v>1</v>
      </c>
      <c r="K10" s="11"/>
    </row>
    <row r="11" ht="15.75" spans="1:11">
      <c r="A11" s="2"/>
      <c r="B11" s="7">
        <f t="shared" si="0"/>
        <v>9</v>
      </c>
      <c r="C11" s="8" t="s">
        <v>10</v>
      </c>
      <c r="D11" s="9" t="s">
        <v>48</v>
      </c>
      <c r="E11" s="10" t="s">
        <v>49</v>
      </c>
      <c r="F11" s="9" t="s">
        <v>13</v>
      </c>
      <c r="G11" s="10" t="s">
        <v>50</v>
      </c>
      <c r="H11" s="9" t="s">
        <v>15</v>
      </c>
      <c r="I11" s="10" t="s">
        <v>51</v>
      </c>
      <c r="J11" s="9">
        <v>1</v>
      </c>
      <c r="K11" s="9"/>
    </row>
    <row r="12" ht="15.75" spans="1:11">
      <c r="A12" s="2"/>
      <c r="B12" s="7">
        <f t="shared" si="0"/>
        <v>10</v>
      </c>
      <c r="C12" s="13" t="s">
        <v>10</v>
      </c>
      <c r="D12" s="11" t="s">
        <v>52</v>
      </c>
      <c r="E12" s="12" t="s">
        <v>53</v>
      </c>
      <c r="F12" s="11" t="s">
        <v>54</v>
      </c>
      <c r="G12" s="12" t="s">
        <v>55</v>
      </c>
      <c r="H12" s="11" t="s">
        <v>56</v>
      </c>
      <c r="I12" s="12" t="s">
        <v>57</v>
      </c>
      <c r="J12" s="11">
        <v>2</v>
      </c>
      <c r="K12" s="11"/>
    </row>
    <row r="13" ht="15.75" spans="1:11">
      <c r="A13" s="2"/>
      <c r="B13" s="7">
        <f t="shared" si="0"/>
        <v>11</v>
      </c>
      <c r="C13" s="8" t="s">
        <v>10</v>
      </c>
      <c r="D13" s="9" t="s">
        <v>58</v>
      </c>
      <c r="E13" s="10" t="s">
        <v>59</v>
      </c>
      <c r="F13" s="9" t="s">
        <v>54</v>
      </c>
      <c r="G13" s="10" t="s">
        <v>60</v>
      </c>
      <c r="H13" s="9" t="s">
        <v>15</v>
      </c>
      <c r="I13" s="10" t="s">
        <v>21</v>
      </c>
      <c r="J13" s="9">
        <v>1</v>
      </c>
      <c r="K13" s="9"/>
    </row>
    <row r="14" ht="15.75" spans="1:11">
      <c r="A14" s="2"/>
      <c r="B14" s="7">
        <f t="shared" si="0"/>
        <v>12</v>
      </c>
      <c r="C14" s="13" t="s">
        <v>10</v>
      </c>
      <c r="D14" s="11" t="s">
        <v>61</v>
      </c>
      <c r="E14" s="12" t="s">
        <v>62</v>
      </c>
      <c r="F14" s="11" t="s">
        <v>13</v>
      </c>
      <c r="G14" s="12" t="s">
        <v>63</v>
      </c>
      <c r="H14" s="11" t="s">
        <v>15</v>
      </c>
      <c r="I14" s="12" t="s">
        <v>64</v>
      </c>
      <c r="J14" s="11">
        <v>1</v>
      </c>
      <c r="K14" s="11"/>
    </row>
    <row r="15" ht="24.75" spans="1:11">
      <c r="A15" s="2"/>
      <c r="B15" s="7">
        <f t="shared" si="0"/>
        <v>13</v>
      </c>
      <c r="C15" s="8" t="s">
        <v>65</v>
      </c>
      <c r="D15" s="9" t="s">
        <v>66</v>
      </c>
      <c r="E15" s="10" t="s">
        <v>67</v>
      </c>
      <c r="F15" s="9" t="s">
        <v>68</v>
      </c>
      <c r="G15" s="10" t="s">
        <v>69</v>
      </c>
      <c r="H15" s="9" t="s">
        <v>70</v>
      </c>
      <c r="I15" s="10" t="s">
        <v>71</v>
      </c>
      <c r="J15" s="9">
        <v>5</v>
      </c>
      <c r="K15" s="9"/>
    </row>
    <row r="16" ht="24.75" spans="1:11">
      <c r="A16" s="2"/>
      <c r="B16" s="7">
        <f t="shared" si="0"/>
        <v>14</v>
      </c>
      <c r="C16" s="13" t="s">
        <v>72</v>
      </c>
      <c r="D16" s="11" t="s">
        <v>73</v>
      </c>
      <c r="E16" s="12" t="s">
        <v>74</v>
      </c>
      <c r="F16" s="11" t="s">
        <v>75</v>
      </c>
      <c r="G16" s="12" t="s">
        <v>76</v>
      </c>
      <c r="H16" s="11" t="s">
        <v>77</v>
      </c>
      <c r="I16" s="10" t="s">
        <v>71</v>
      </c>
      <c r="J16" s="11">
        <v>1</v>
      </c>
      <c r="K16" s="11"/>
    </row>
    <row r="17" ht="48.75" spans="1:11">
      <c r="A17" s="2"/>
      <c r="B17" s="7">
        <f t="shared" si="0"/>
        <v>15</v>
      </c>
      <c r="C17" s="8" t="s">
        <v>78</v>
      </c>
      <c r="D17" s="9" t="s">
        <v>79</v>
      </c>
      <c r="E17" s="10" t="s">
        <v>80</v>
      </c>
      <c r="F17" s="11" t="s">
        <v>75</v>
      </c>
      <c r="G17" s="10" t="s">
        <v>81</v>
      </c>
      <c r="H17" s="9" t="s">
        <v>82</v>
      </c>
      <c r="I17" s="10" t="s">
        <v>71</v>
      </c>
      <c r="J17" s="9">
        <v>1</v>
      </c>
      <c r="K17" s="9"/>
    </row>
    <row r="18" ht="48.75" spans="1:11">
      <c r="A18" s="2"/>
      <c r="B18" s="7">
        <f t="shared" si="0"/>
        <v>16</v>
      </c>
      <c r="C18" s="13" t="s">
        <v>83</v>
      </c>
      <c r="D18" s="11" t="s">
        <v>84</v>
      </c>
      <c r="E18" s="12" t="s">
        <v>85</v>
      </c>
      <c r="F18" s="11" t="s">
        <v>86</v>
      </c>
      <c r="G18" s="12" t="s">
        <v>87</v>
      </c>
      <c r="H18" s="11" t="s">
        <v>88</v>
      </c>
      <c r="I18" s="10" t="s">
        <v>71</v>
      </c>
      <c r="J18" s="11">
        <v>1</v>
      </c>
      <c r="K18" s="11"/>
    </row>
    <row r="19" ht="15.75" spans="1:11">
      <c r="A19" s="2"/>
      <c r="B19" s="7">
        <f t="shared" si="0"/>
        <v>17</v>
      </c>
      <c r="C19" s="8" t="s">
        <v>89</v>
      </c>
      <c r="D19" s="9" t="s">
        <v>90</v>
      </c>
      <c r="E19" s="10" t="s">
        <v>91</v>
      </c>
      <c r="F19" s="11" t="s">
        <v>75</v>
      </c>
      <c r="G19" s="10" t="s">
        <v>92</v>
      </c>
      <c r="H19" s="9" t="s">
        <v>93</v>
      </c>
      <c r="I19" s="10" t="s">
        <v>94</v>
      </c>
      <c r="J19" s="9">
        <v>1</v>
      </c>
      <c r="K19" s="9"/>
    </row>
    <row r="20" ht="48.75" spans="1:11">
      <c r="A20" s="2"/>
      <c r="B20" s="7">
        <f t="shared" si="0"/>
        <v>18</v>
      </c>
      <c r="C20" s="13" t="s">
        <v>95</v>
      </c>
      <c r="D20" s="11" t="s">
        <v>96</v>
      </c>
      <c r="E20" s="12" t="s">
        <v>97</v>
      </c>
      <c r="F20" s="11" t="s">
        <v>75</v>
      </c>
      <c r="G20" s="12" t="s">
        <v>98</v>
      </c>
      <c r="H20" s="11" t="s">
        <v>99</v>
      </c>
      <c r="I20" s="12" t="s">
        <v>71</v>
      </c>
      <c r="J20" s="11">
        <v>1</v>
      </c>
      <c r="K20" s="11"/>
    </row>
    <row r="21" ht="36.75" spans="1:11">
      <c r="A21" s="2"/>
      <c r="B21" s="7">
        <f t="shared" si="0"/>
        <v>19</v>
      </c>
      <c r="C21" s="8" t="s">
        <v>100</v>
      </c>
      <c r="D21" s="9" t="s">
        <v>101</v>
      </c>
      <c r="E21" s="10" t="s">
        <v>102</v>
      </c>
      <c r="F21" s="9" t="s">
        <v>103</v>
      </c>
      <c r="G21" s="10" t="s">
        <v>104</v>
      </c>
      <c r="H21" s="9" t="s">
        <v>105</v>
      </c>
      <c r="I21" s="12" t="s">
        <v>71</v>
      </c>
      <c r="J21" s="9">
        <v>2</v>
      </c>
      <c r="K21" s="9"/>
    </row>
    <row r="22" ht="15.75" spans="1:11">
      <c r="A22" s="2"/>
      <c r="B22" s="7">
        <f t="shared" si="0"/>
        <v>20</v>
      </c>
      <c r="C22" s="13" t="s">
        <v>106</v>
      </c>
      <c r="D22" s="11" t="s">
        <v>107</v>
      </c>
      <c r="E22" s="12" t="s">
        <v>108</v>
      </c>
      <c r="F22" s="11" t="s">
        <v>109</v>
      </c>
      <c r="G22" s="12" t="s">
        <v>110</v>
      </c>
      <c r="H22" s="11" t="s">
        <v>15</v>
      </c>
      <c r="I22" s="12" t="s">
        <v>111</v>
      </c>
      <c r="J22" s="11">
        <v>1</v>
      </c>
      <c r="K22" s="11"/>
    </row>
    <row r="23" ht="15.75" spans="1:11">
      <c r="A23" s="2"/>
      <c r="B23" s="7">
        <f t="shared" si="0"/>
        <v>21</v>
      </c>
      <c r="C23" s="8" t="s">
        <v>112</v>
      </c>
      <c r="D23" s="9" t="s">
        <v>113</v>
      </c>
      <c r="E23" s="10" t="s">
        <v>114</v>
      </c>
      <c r="F23" s="9" t="s">
        <v>109</v>
      </c>
      <c r="G23" s="10" t="s">
        <v>115</v>
      </c>
      <c r="H23" s="9" t="s">
        <v>15</v>
      </c>
      <c r="I23" s="10" t="s">
        <v>116</v>
      </c>
      <c r="J23" s="9">
        <v>1</v>
      </c>
      <c r="K23" s="9"/>
    </row>
    <row r="24" ht="15.75" spans="1:11">
      <c r="A24" s="2"/>
      <c r="B24" s="7">
        <f t="shared" si="0"/>
        <v>22</v>
      </c>
      <c r="C24" s="13" t="s">
        <v>106</v>
      </c>
      <c r="D24" s="11" t="s">
        <v>117</v>
      </c>
      <c r="E24" s="12" t="s">
        <v>118</v>
      </c>
      <c r="F24" s="11" t="s">
        <v>109</v>
      </c>
      <c r="G24" s="12" t="s">
        <v>119</v>
      </c>
      <c r="H24" s="11" t="s">
        <v>15</v>
      </c>
      <c r="I24" s="12" t="s">
        <v>120</v>
      </c>
      <c r="J24" s="11">
        <v>1</v>
      </c>
      <c r="K24" s="11"/>
    </row>
    <row r="25" ht="15.75" spans="1:11">
      <c r="A25" s="2"/>
      <c r="B25" s="7">
        <f t="shared" si="0"/>
        <v>23</v>
      </c>
      <c r="C25" s="8" t="s">
        <v>106</v>
      </c>
      <c r="D25" s="9" t="s">
        <v>121</v>
      </c>
      <c r="E25" s="10" t="s">
        <v>122</v>
      </c>
      <c r="F25" s="9" t="s">
        <v>109</v>
      </c>
      <c r="G25" s="10" t="s">
        <v>123</v>
      </c>
      <c r="H25" s="9" t="s">
        <v>15</v>
      </c>
      <c r="I25" s="10" t="s">
        <v>124</v>
      </c>
      <c r="J25" s="9">
        <v>7</v>
      </c>
      <c r="K25" s="9"/>
    </row>
    <row r="26" ht="15.75" spans="1:11">
      <c r="A26" s="2"/>
      <c r="B26" s="7">
        <f t="shared" si="0"/>
        <v>24</v>
      </c>
      <c r="C26" s="13" t="s">
        <v>106</v>
      </c>
      <c r="D26" s="11" t="s">
        <v>125</v>
      </c>
      <c r="E26" s="12" t="s">
        <v>126</v>
      </c>
      <c r="F26" s="11" t="s">
        <v>109</v>
      </c>
      <c r="G26" s="12" t="s">
        <v>127</v>
      </c>
      <c r="H26" s="11" t="s">
        <v>15</v>
      </c>
      <c r="I26" s="12" t="s">
        <v>128</v>
      </c>
      <c r="J26" s="11">
        <v>2</v>
      </c>
      <c r="K26" s="11"/>
    </row>
    <row r="27" ht="15.75" spans="1:11">
      <c r="A27" s="2"/>
      <c r="B27" s="7">
        <f t="shared" si="0"/>
        <v>25</v>
      </c>
      <c r="C27" s="13" t="s">
        <v>106</v>
      </c>
      <c r="D27" s="9" t="s">
        <v>129</v>
      </c>
      <c r="E27" s="10" t="s">
        <v>130</v>
      </c>
      <c r="F27" s="9" t="s">
        <v>109</v>
      </c>
      <c r="G27" s="10" t="s">
        <v>131</v>
      </c>
      <c r="H27" s="9" t="s">
        <v>15</v>
      </c>
      <c r="I27" s="10" t="s">
        <v>132</v>
      </c>
      <c r="J27" s="9">
        <v>1</v>
      </c>
      <c r="K27" s="9"/>
    </row>
    <row r="28" ht="15.75" spans="1:11">
      <c r="A28" s="2"/>
      <c r="B28" s="7">
        <f t="shared" si="0"/>
        <v>26</v>
      </c>
      <c r="C28" s="13" t="s">
        <v>106</v>
      </c>
      <c r="D28" s="11" t="s">
        <v>133</v>
      </c>
      <c r="E28" s="12" t="s">
        <v>134</v>
      </c>
      <c r="F28" s="11" t="s">
        <v>135</v>
      </c>
      <c r="G28" s="12" t="s">
        <v>136</v>
      </c>
      <c r="H28" s="11" t="s">
        <v>15</v>
      </c>
      <c r="I28" s="12" t="s">
        <v>124</v>
      </c>
      <c r="J28" s="11">
        <v>1</v>
      </c>
      <c r="K28" s="11"/>
    </row>
    <row r="29" ht="15.75" spans="1:11">
      <c r="A29" s="2"/>
      <c r="B29" s="7">
        <f t="shared" si="0"/>
        <v>27</v>
      </c>
      <c r="C29" s="13" t="s">
        <v>106</v>
      </c>
      <c r="D29" s="9" t="s">
        <v>137</v>
      </c>
      <c r="E29" s="10" t="s">
        <v>138</v>
      </c>
      <c r="F29" s="9" t="s">
        <v>135</v>
      </c>
      <c r="G29" s="10" t="s">
        <v>139</v>
      </c>
      <c r="H29" s="9" t="s">
        <v>15</v>
      </c>
      <c r="I29" s="10" t="s">
        <v>140</v>
      </c>
      <c r="J29" s="9">
        <v>1</v>
      </c>
      <c r="K29" s="9"/>
    </row>
    <row r="30" ht="15.75" spans="1:11">
      <c r="A30" s="2"/>
      <c r="B30" s="7">
        <f t="shared" si="0"/>
        <v>28</v>
      </c>
      <c r="C30" s="13" t="s">
        <v>106</v>
      </c>
      <c r="D30" s="11" t="s">
        <v>141</v>
      </c>
      <c r="E30" s="12" t="s">
        <v>142</v>
      </c>
      <c r="F30" s="11" t="s">
        <v>109</v>
      </c>
      <c r="G30" s="12" t="s">
        <v>143</v>
      </c>
      <c r="H30" s="11" t="s">
        <v>15</v>
      </c>
      <c r="I30" s="12" t="s">
        <v>144</v>
      </c>
      <c r="J30" s="11">
        <v>2</v>
      </c>
      <c r="K30" s="11"/>
    </row>
    <row r="31" ht="48.75" spans="1:11">
      <c r="A31" s="2"/>
      <c r="B31" s="7">
        <f t="shared" si="0"/>
        <v>29</v>
      </c>
      <c r="C31" s="8" t="s">
        <v>145</v>
      </c>
      <c r="D31" s="9" t="s">
        <v>146</v>
      </c>
      <c r="E31" s="10" t="s">
        <v>147</v>
      </c>
      <c r="F31" s="11" t="s">
        <v>75</v>
      </c>
      <c r="G31" s="10" t="s">
        <v>148</v>
      </c>
      <c r="H31" s="9" t="s">
        <v>82</v>
      </c>
      <c r="I31" s="10" t="s">
        <v>71</v>
      </c>
      <c r="J31" s="9">
        <v>2</v>
      </c>
      <c r="K31" s="9"/>
    </row>
    <row r="32" ht="24.75" spans="1:11">
      <c r="A32" s="2"/>
      <c r="B32" s="7">
        <f t="shared" si="0"/>
        <v>30</v>
      </c>
      <c r="C32" s="13" t="s">
        <v>149</v>
      </c>
      <c r="D32" s="11" t="s">
        <v>150</v>
      </c>
      <c r="E32" s="12" t="s">
        <v>151</v>
      </c>
      <c r="F32" s="11" t="s">
        <v>152</v>
      </c>
      <c r="G32" s="12" t="s">
        <v>153</v>
      </c>
      <c r="H32" s="11" t="s">
        <v>154</v>
      </c>
      <c r="I32" s="10" t="s">
        <v>71</v>
      </c>
      <c r="J32" s="11">
        <v>1</v>
      </c>
      <c r="K32" s="11"/>
    </row>
    <row r="33" ht="24.75" spans="1:11">
      <c r="A33" s="2"/>
      <c r="B33" s="7">
        <f t="shared" si="0"/>
        <v>31</v>
      </c>
      <c r="C33" s="8" t="s">
        <v>149</v>
      </c>
      <c r="D33" s="9" t="s">
        <v>155</v>
      </c>
      <c r="E33" s="10" t="s">
        <v>156</v>
      </c>
      <c r="F33" s="9" t="s">
        <v>157</v>
      </c>
      <c r="G33" s="10" t="s">
        <v>158</v>
      </c>
      <c r="H33" s="9" t="s">
        <v>159</v>
      </c>
      <c r="I33" s="10" t="s">
        <v>71</v>
      </c>
      <c r="J33" s="9">
        <v>1</v>
      </c>
      <c r="K33" s="9"/>
    </row>
    <row r="34" ht="15.75" spans="1:11">
      <c r="A34" s="2"/>
      <c r="B34" s="7">
        <f t="shared" si="0"/>
        <v>32</v>
      </c>
      <c r="C34" s="13" t="s">
        <v>149</v>
      </c>
      <c r="D34" s="11" t="s">
        <v>160</v>
      </c>
      <c r="E34" s="12" t="s">
        <v>161</v>
      </c>
      <c r="F34" s="11" t="s">
        <v>162</v>
      </c>
      <c r="G34" s="12" t="s">
        <v>163</v>
      </c>
      <c r="H34" s="11" t="s">
        <v>164</v>
      </c>
      <c r="I34" s="10" t="s">
        <v>71</v>
      </c>
      <c r="J34" s="11">
        <v>1</v>
      </c>
      <c r="K34" s="11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sidra memon</cp:lastModifiedBy>
  <dcterms:created xsi:type="dcterms:W3CDTF">2019-12-12T10:34:00Z</dcterms:created>
  <dcterms:modified xsi:type="dcterms:W3CDTF">2025-09-29T11:17:37Z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20CE8B9DE3CC4E9EA0878755CE8E8280_12</vt:lpwstr>
  </property>
  <property fmtid="{D5CDD505-2E9C-101B-9397-08002B2CF9AE}" pid="3" name="KSOProductBuildVer">
    <vt:lpwstr>1033-12.2.0.22549</vt:lpwstr>
  </property>
</Properties>
</file>