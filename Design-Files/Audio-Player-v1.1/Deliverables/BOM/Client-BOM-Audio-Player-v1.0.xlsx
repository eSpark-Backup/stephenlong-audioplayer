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tephenlong-audioplayer\Design-Files\Audio-Player-v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5" i="1" l="1"/>
  <c r="B44" i="1"/>
  <c r="B43" i="1"/>
  <c r="B42" i="1"/>
  <c r="B41" i="1"/>
  <c r="B40" i="1"/>
  <c r="B39" i="1"/>
  <c r="B38" i="1"/>
  <c r="B37" i="1"/>
  <c r="B36" i="1"/>
  <c r="B35" i="1"/>
  <c r="B34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<sst xmlns="http://schemas.openxmlformats.org/spreadsheetml/2006/main" count="311" uniqueCount="215">
  <si>
    <t>#</t>
  </si>
  <si>
    <t>Item Type</t>
  </si>
  <si>
    <t>Capacitor</t>
  </si>
  <si>
    <t>Capacitors</t>
  </si>
  <si>
    <t>NTC Thermistor</t>
  </si>
  <si>
    <t>Diode</t>
  </si>
  <si>
    <t>Ferrite Bead</t>
  </si>
  <si>
    <t>USB Connector</t>
  </si>
  <si>
    <t>Connector</t>
  </si>
  <si>
    <t>Male Header</t>
  </si>
  <si>
    <t>Audio Connector</t>
  </si>
  <si>
    <t>Wireless Charging Coil</t>
  </si>
  <si>
    <t>LED</t>
  </si>
  <si>
    <t>Mosfet</t>
  </si>
  <si>
    <t>Resistor</t>
  </si>
  <si>
    <t>Resistors</t>
  </si>
  <si>
    <t>Switch</t>
  </si>
  <si>
    <t>Tactile Switch</t>
  </si>
  <si>
    <t>IC</t>
  </si>
  <si>
    <t>Designator</t>
  </si>
  <si>
    <t>C1, C3, C15</t>
  </si>
  <si>
    <t>C2</t>
  </si>
  <si>
    <t>C5, C33, C36</t>
  </si>
  <si>
    <t>C6, C7</t>
  </si>
  <si>
    <t>C8</t>
  </si>
  <si>
    <t>C9, C10</t>
  </si>
  <si>
    <t>C11, C17, C20, C22</t>
  </si>
  <si>
    <t>C12, C13, C21, C23, C24, C25, C26, C27, C28, C30, C35, C38, C40</t>
  </si>
  <si>
    <t>C14</t>
  </si>
  <si>
    <t>C16, C39, C42</t>
  </si>
  <si>
    <t>C18</t>
  </si>
  <si>
    <t>C19</t>
  </si>
  <si>
    <t>C29, C31, C32, C34, C37, C41</t>
  </si>
  <si>
    <t>D1</t>
  </si>
  <si>
    <t>FB1</t>
  </si>
  <si>
    <t>J1</t>
  </si>
  <si>
    <t>J2</t>
  </si>
  <si>
    <t>J3</t>
  </si>
  <si>
    <t>J4</t>
  </si>
  <si>
    <t>L1</t>
  </si>
  <si>
    <t>L2</t>
  </si>
  <si>
    <t>LED1</t>
  </si>
  <si>
    <t>LED2</t>
  </si>
  <si>
    <t>LED3</t>
  </si>
  <si>
    <t>Q1, Q2</t>
  </si>
  <si>
    <t>R1</t>
  </si>
  <si>
    <t>R2, R11, R13, R25, R26, R27, R28, R29, R30, R31, R37</t>
  </si>
  <si>
    <t>R3</t>
  </si>
  <si>
    <t>R4, R9</t>
  </si>
  <si>
    <t>R5, R14, R17, R18, R19, R20, R21, R22, R32, R33, R34, R35, R36</t>
  </si>
  <si>
    <t>R6, R7, R16, R38</t>
  </si>
  <si>
    <t>R8, R10</t>
  </si>
  <si>
    <t>R12</t>
  </si>
  <si>
    <t>R15</t>
  </si>
  <si>
    <t>R23, R24</t>
  </si>
  <si>
    <t>SW1, SW2</t>
  </si>
  <si>
    <t>SW3, SW4, SW5, SW6, SW7, SW8</t>
  </si>
  <si>
    <t>U1</t>
  </si>
  <si>
    <t>U2</t>
  </si>
  <si>
    <t>U3</t>
  </si>
  <si>
    <t>U4</t>
  </si>
  <si>
    <t>U5</t>
  </si>
  <si>
    <t>Description</t>
  </si>
  <si>
    <t>CAP CER 0.015UF 50V X7R 0402</t>
  </si>
  <si>
    <t>400nF -40℃~+105℃ ±5% 100V Plugin,P=7.5mm Polypropylene Film Capacitors (CBB) ROHS</t>
  </si>
  <si>
    <t>CAP CER 2200PF 50V X7R 0402</t>
  </si>
  <si>
    <t>CAP CER 0.047UF 100V X7R 1206</t>
  </si>
  <si>
    <t>CAP ALUM 470UF 20% 25V SMD</t>
  </si>
  <si>
    <t>CAP CER 22UF 25V X5R 0805</t>
  </si>
  <si>
    <t>CAP CER 1UF 16V X5R 0402</t>
  </si>
  <si>
    <t>CAP CER 0.1UF 50V X7R 0402</t>
  </si>
  <si>
    <t>100kΩ 100uA 100mW 3950K ±1% 0603 NTC Thermistors ROHS</t>
  </si>
  <si>
    <t>CAP CER 2.2UF 25V X5R 0402</t>
  </si>
  <si>
    <t>CAP CER 4.7UF 10V X5R 0402</t>
  </si>
  <si>
    <t>CAP CER 22UF 10V X5R 0603</t>
  </si>
  <si>
    <t>CAP CER 10UF 10V X5R 0402</t>
  </si>
  <si>
    <t>DIODE SCHOTTKY 40V 1A SOD123</t>
  </si>
  <si>
    <t>FERRITE BEAD 220 OHM 0603 1LN</t>
  </si>
  <si>
    <t>5A 1 16P Female Type-C SMD USB Connectors ROHS</t>
  </si>
  <si>
    <t>1x6P SH 1 1mm 6 SMD,P=1mm Wire To Board / Wire To Wire Connector ROHS</t>
  </si>
  <si>
    <t>Gold 250V 3A Policy 2.5mm 6P -40℃~+105℃ 2.54mm Single Row Black Brass 2.54mm 1x6P SMD,P=2.54mm Pin Headers ROHS</t>
  </si>
  <si>
    <t>-25℃~+80℃ 3.5mm Headphone Jack 30V 1A SMD Audio Connectors ROHS</t>
  </si>
  <si>
    <t>Transmitter 6.3uH 75mΩ ±5% Wireless Charging Coils ROHS</t>
  </si>
  <si>
    <t>FERRITE BEAD 600 OHM 0402 1LN</t>
  </si>
  <si>
    <t>RED LED 0603 Light Emitting Diodes</t>
  </si>
  <si>
    <t>Emerald 0603 Light Emitting Diodes (LED) ROHS</t>
  </si>
  <si>
    <t>Colorless transparent lens -40℃~+85℃ Positive Stick Red,Green 120° SMD-4P,3.5x2.8mm LED Indication - Discrete ROHS</t>
  </si>
  <si>
    <t>30V 5.8A 32mΩ@10V,5.8A 1.4W 1.4V@250uA N Channel SOT-23 MOSFETs ROHS</t>
  </si>
  <si>
    <t>RES 3.3K OHM 1% 1/16W 0402</t>
  </si>
  <si>
    <t>RES 0 OHM JUMPER 1/16W 0402</t>
  </si>
  <si>
    <t>RES 33K OHM 1% 1/16W 0402</t>
  </si>
  <si>
    <t>RES SMD 100K OHM 0.1% 1/16W 0402</t>
  </si>
  <si>
    <t>RES 10K OHM 1% 1/16W 0402</t>
  </si>
  <si>
    <t>RES 1K OHM 1% 1/16W 0402</t>
  </si>
  <si>
    <t>RES 5.1K OHM 1% 1/16W 0402</t>
  </si>
  <si>
    <t>RES 0.02 OHM 1% 2W 2512</t>
  </si>
  <si>
    <t>RES 470 OHM 1% 1/10W 0603</t>
  </si>
  <si>
    <t>RES 470 OHM 1% 1/16W 0402</t>
  </si>
  <si>
    <t>SWITCH TACTILE SPST-NO 0.05A 12V</t>
  </si>
  <si>
    <t>50mA Lying 100MΩ 100000 Times 250gf@±30gf 12V Plugin Tactile Switches ROHS</t>
  </si>
  <si>
    <t>4.5V~12V QFN-32-EP(5x5) Battery Management ROHS</t>
  </si>
  <si>
    <t>IC REG LINEAR 3.3V 1.2A SOT223</t>
  </si>
  <si>
    <t>RX TXRX MOD WIFI TRACE ANT SMD</t>
  </si>
  <si>
    <t>IC REG LINEAR 3.3V 300MA SOT23-5</t>
  </si>
  <si>
    <t>IC DAC 16/24/32BIT 384K 20TSSOP</t>
  </si>
  <si>
    <t>Footprint</t>
  </si>
  <si>
    <t>Cap-0402</t>
  </si>
  <si>
    <t>MPP404J2A0701</t>
  </si>
  <si>
    <t>Cap-1206</t>
  </si>
  <si>
    <t>UWD-470uF-10mmDia</t>
  </si>
  <si>
    <t>Cap-0805</t>
  </si>
  <si>
    <t>Res-0603</t>
  </si>
  <si>
    <t>Cap-0603</t>
  </si>
  <si>
    <t>SOD-123</t>
  </si>
  <si>
    <t>IND-0603 (1608 Metric)</t>
  </si>
  <si>
    <t>PJ-332A-6A</t>
  </si>
  <si>
    <t>YX-A11-R501000-R0807</t>
  </si>
  <si>
    <t>IND-0402</t>
  </si>
  <si>
    <t>LED-0603</t>
  </si>
  <si>
    <t>A-SC6302R6AGHC-A03-2T</t>
  </si>
  <si>
    <t>sot-23</t>
  </si>
  <si>
    <t>Res-0402</t>
  </si>
  <si>
    <t>RES-2512</t>
  </si>
  <si>
    <t>B3U-1000P</t>
  </si>
  <si>
    <t>K2-1101DF-C4DW-01</t>
  </si>
  <si>
    <t>QFN-32-EP(5x5)</t>
  </si>
  <si>
    <t>SOT- 223</t>
  </si>
  <si>
    <t>38-SMD Module</t>
  </si>
  <si>
    <t>SOT-23-5</t>
  </si>
  <si>
    <t>TSSOP-20</t>
  </si>
  <si>
    <t>Manufacturer Part Number</t>
  </si>
  <si>
    <t>CC0402KRX7R9BB153</t>
  </si>
  <si>
    <t>CC0402JRX7R9BB222</t>
  </si>
  <si>
    <t>CC1206JRX7R0BB473</t>
  </si>
  <si>
    <t>UWD1E471MCL1GS</t>
  </si>
  <si>
    <t>CC0805MKX5R8BB226</t>
  </si>
  <si>
    <t>CC0402KRX5R7BB105</t>
  </si>
  <si>
    <t>GRM155R71H104KE14D</t>
  </si>
  <si>
    <t>KNTC0603/100KF3950</t>
  </si>
  <si>
    <t>GRM155R61E225KE11D</t>
  </si>
  <si>
    <t>CC0402KRX5R6BB475</t>
  </si>
  <si>
    <t>CC0603MRX5R6BB226</t>
  </si>
  <si>
    <t>CC0402MRX5R6BB106</t>
  </si>
  <si>
    <t>1N5819HW-7-F</t>
  </si>
  <si>
    <t>BLM18PG221SN1D</t>
  </si>
  <si>
    <t>TYPE-C-31-M-12</t>
  </si>
  <si>
    <t>C145963</t>
  </si>
  <si>
    <t>X6511WVS-03H-C60D48R1</t>
  </si>
  <si>
    <t>BLM15AG601SN1D</t>
  </si>
  <si>
    <t>NCD0603R3</t>
  </si>
  <si>
    <t>NCD0603G2</t>
  </si>
  <si>
    <t>AO3400A</t>
  </si>
  <si>
    <t>RC0402FR-073K3L</t>
  </si>
  <si>
    <t>RC0402FR-070RL</t>
  </si>
  <si>
    <t>RC0402FR-0733KL</t>
  </si>
  <si>
    <t>RT0402BRD07100KL</t>
  </si>
  <si>
    <t>RC0402FR-0710KL</t>
  </si>
  <si>
    <t>RC0402FR-071KL</t>
  </si>
  <si>
    <t>RC0402FR-075K1L</t>
  </si>
  <si>
    <t>PA2512FKE7W0R02E</t>
  </si>
  <si>
    <t>RC0603FR-07470RL</t>
  </si>
  <si>
    <t>RC0402FR-07470RL</t>
  </si>
  <si>
    <t>IP6806_NF</t>
  </si>
  <si>
    <t>LDL1117S33R</t>
  </si>
  <si>
    <t>ESP32-WROOM-32E-N16</t>
  </si>
  <si>
    <t>AP2127K-3.3TRG1</t>
  </si>
  <si>
    <t>PCM5102APWR</t>
  </si>
  <si>
    <t>Manufacturer</t>
  </si>
  <si>
    <t>Yageo</t>
  </si>
  <si>
    <t>KYET</t>
  </si>
  <si>
    <t>Nichicon</t>
  </si>
  <si>
    <t>Murata</t>
  </si>
  <si>
    <t>KUU</t>
  </si>
  <si>
    <t>Diodes</t>
  </si>
  <si>
    <t>Korean Hroparts Elec</t>
  </si>
  <si>
    <t>BOOMELE</t>
  </si>
  <si>
    <t>XKB Connectivity</t>
  </si>
  <si>
    <t>CND-tek</t>
  </si>
  <si>
    <t>Foshan NationStar Optoelectronics</t>
  </si>
  <si>
    <t>Amicc</t>
  </si>
  <si>
    <t>BORN</t>
  </si>
  <si>
    <t>YAGEO</t>
  </si>
  <si>
    <t>Omron</t>
  </si>
  <si>
    <t>INJOINIC</t>
  </si>
  <si>
    <t>STMicroelectronics</t>
  </si>
  <si>
    <t>Espressif Systems</t>
  </si>
  <si>
    <t>Texas Instruments</t>
  </si>
  <si>
    <t>15nF</t>
  </si>
  <si>
    <t>400nF</t>
  </si>
  <si>
    <t>2.2nF</t>
  </si>
  <si>
    <t>47nF</t>
  </si>
  <si>
    <t>470uF</t>
  </si>
  <si>
    <t>22uF</t>
  </si>
  <si>
    <t>1uF</t>
  </si>
  <si>
    <t>100nF</t>
  </si>
  <si>
    <t>100K</t>
  </si>
  <si>
    <t>2.2uF</t>
  </si>
  <si>
    <t>4.7uF</t>
  </si>
  <si>
    <t>10uF</t>
  </si>
  <si>
    <t>6.3uH</t>
  </si>
  <si>
    <t>3.3K</t>
  </si>
  <si>
    <t>0R</t>
  </si>
  <si>
    <t>33K</t>
  </si>
  <si>
    <t>10K</t>
  </si>
  <si>
    <t>1K</t>
  </si>
  <si>
    <t>5.1K</t>
  </si>
  <si>
    <t>20mR</t>
  </si>
  <si>
    <t>470R</t>
  </si>
  <si>
    <t>Quantity</t>
  </si>
  <si>
    <t>Value</t>
  </si>
  <si>
    <t>Remarks</t>
  </si>
  <si>
    <t>-</t>
  </si>
  <si>
    <t>Custom</t>
  </si>
  <si>
    <t>R21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</si>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</sst>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5"/>
  <sheetViews>
    <sheetView tabSelected="1" workbookViewId="0">
      <selection activeCell="K47" sqref="K4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8.42578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5.1406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19</v>
      </c>
      <c r="E2" s="6" t="s">
        <v>62</v>
      </c>
      <c r="F2" s="5" t="s">
        <v>105</v>
      </c>
      <c r="G2" s="6" t="s">
        <v>130</v>
      </c>
      <c r="H2" s="5" t="s">
        <v>167</v>
      </c>
      <c r="I2" s="6" t="s">
        <v>209</v>
      </c>
      <c r="J2" s="5" t="s">
        <v>208</v>
      </c>
      <c r="K2" s="5" t="s">
        <v>210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20</v>
      </c>
      <c r="E3" s="8" t="s">
        <v>63</v>
      </c>
      <c r="F3" s="7" t="s">
        <v>106</v>
      </c>
      <c r="G3" s="8" t="s">
        <v>131</v>
      </c>
      <c r="H3" s="7" t="s">
        <v>168</v>
      </c>
      <c r="I3" s="8" t="s">
        <v>187</v>
      </c>
      <c r="J3" s="7">
        <v>3</v>
      </c>
      <c r="K3" s="7"/>
    </row>
    <row r="4" spans="1:11" ht="36.75" thickBot="1" x14ac:dyDescent="0.3">
      <c r="A4" s="1"/>
      <c r="B4" s="11">
        <f t="shared" ref="B4:B45" si="0">ROW(B4) - ROW($B$2)</f>
        <v>2</v>
      </c>
      <c r="C4" s="13" t="s">
        <v>2</v>
      </c>
      <c r="D4" s="9" t="s">
        <v>21</v>
      </c>
      <c r="E4" s="10" t="s">
        <v>64</v>
      </c>
      <c r="F4" s="9" t="s">
        <v>212</v>
      </c>
      <c r="G4" s="10" t="s">
        <v>107</v>
      </c>
      <c r="H4" s="9" t="s">
        <v>169</v>
      </c>
      <c r="I4" s="10" t="s">
        <v>188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22</v>
      </c>
      <c r="E5" s="8" t="s">
        <v>65</v>
      </c>
      <c r="F5" s="7" t="s">
        <v>106</v>
      </c>
      <c r="G5" s="8" t="s">
        <v>132</v>
      </c>
      <c r="H5" s="7" t="s">
        <v>168</v>
      </c>
      <c r="I5" s="8" t="s">
        <v>189</v>
      </c>
      <c r="J5" s="7">
        <v>3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23</v>
      </c>
      <c r="E6" s="10" t="s">
        <v>66</v>
      </c>
      <c r="F6" s="9" t="s">
        <v>108</v>
      </c>
      <c r="G6" s="10" t="s">
        <v>133</v>
      </c>
      <c r="H6" s="9" t="s">
        <v>168</v>
      </c>
      <c r="I6" s="10" t="s">
        <v>190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24</v>
      </c>
      <c r="E7" s="8" t="s">
        <v>67</v>
      </c>
      <c r="F7" s="7" t="s">
        <v>109</v>
      </c>
      <c r="G7" s="8" t="s">
        <v>134</v>
      </c>
      <c r="H7" s="7" t="s">
        <v>170</v>
      </c>
      <c r="I7" s="8" t="s">
        <v>191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25</v>
      </c>
      <c r="E8" s="10" t="s">
        <v>68</v>
      </c>
      <c r="F8" s="9" t="s">
        <v>110</v>
      </c>
      <c r="G8" s="10" t="s">
        <v>135</v>
      </c>
      <c r="H8" s="9" t="s">
        <v>168</v>
      </c>
      <c r="I8" s="10" t="s">
        <v>192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26</v>
      </c>
      <c r="E9" s="8" t="s">
        <v>69</v>
      </c>
      <c r="F9" s="7" t="s">
        <v>106</v>
      </c>
      <c r="G9" s="8" t="s">
        <v>136</v>
      </c>
      <c r="H9" s="7" t="s">
        <v>168</v>
      </c>
      <c r="I9" s="8" t="s">
        <v>193</v>
      </c>
      <c r="J9" s="7">
        <v>4</v>
      </c>
      <c r="K9" s="7"/>
    </row>
    <row r="10" spans="1:11" ht="24.75" thickBot="1" x14ac:dyDescent="0.3">
      <c r="A10" s="1"/>
      <c r="B10" s="11">
        <f t="shared" si="0"/>
        <v>8</v>
      </c>
      <c r="C10" s="13" t="s">
        <v>3</v>
      </c>
      <c r="D10" s="9" t="s">
        <v>27</v>
      </c>
      <c r="E10" s="10" t="s">
        <v>70</v>
      </c>
      <c r="F10" s="9" t="s">
        <v>106</v>
      </c>
      <c r="G10" s="10" t="s">
        <v>137</v>
      </c>
      <c r="H10" s="9" t="s">
        <v>171</v>
      </c>
      <c r="I10" s="10" t="s">
        <v>194</v>
      </c>
      <c r="J10" s="9">
        <v>13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4</v>
      </c>
      <c r="D11" s="7" t="s">
        <v>28</v>
      </c>
      <c r="E11" s="8" t="s">
        <v>71</v>
      </c>
      <c r="F11" s="7" t="s">
        <v>111</v>
      </c>
      <c r="G11" s="8" t="s">
        <v>138</v>
      </c>
      <c r="H11" s="7" t="s">
        <v>172</v>
      </c>
      <c r="I11" s="8" t="s">
        <v>195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29</v>
      </c>
      <c r="E12" s="10" t="s">
        <v>72</v>
      </c>
      <c r="F12" s="9" t="s">
        <v>106</v>
      </c>
      <c r="G12" s="10" t="s">
        <v>139</v>
      </c>
      <c r="H12" s="9" t="s">
        <v>171</v>
      </c>
      <c r="I12" s="10" t="s">
        <v>196</v>
      </c>
      <c r="J12" s="9">
        <v>3</v>
      </c>
      <c r="K12" s="9"/>
    </row>
    <row r="13" spans="1:11" ht="15.75" thickBot="1" x14ac:dyDescent="0.3">
      <c r="A13" s="1"/>
      <c r="B13" s="11">
        <f>ROW(B13) - ROW($B$2)</f>
        <v>11</v>
      </c>
      <c r="C13" s="13" t="s">
        <v>2</v>
      </c>
      <c r="D13" s="7" t="s">
        <v>30</v>
      </c>
      <c r="E13" s="8" t="s">
        <v>73</v>
      </c>
      <c r="F13" s="7" t="s">
        <v>106</v>
      </c>
      <c r="G13" s="8" t="s">
        <v>140</v>
      </c>
      <c r="H13" s="7" t="s">
        <v>168</v>
      </c>
      <c r="I13" s="8" t="s">
        <v>197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31</v>
      </c>
      <c r="E14" s="10" t="s">
        <v>74</v>
      </c>
      <c r="F14" s="9" t="s">
        <v>112</v>
      </c>
      <c r="G14" s="10" t="s">
        <v>141</v>
      </c>
      <c r="H14" s="9" t="s">
        <v>168</v>
      </c>
      <c r="I14" s="10" t="s">
        <v>192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32</v>
      </c>
      <c r="E15" s="8" t="s">
        <v>75</v>
      </c>
      <c r="F15" s="7" t="s">
        <v>106</v>
      </c>
      <c r="G15" s="8" t="s">
        <v>142</v>
      </c>
      <c r="H15" s="7" t="s">
        <v>168</v>
      </c>
      <c r="I15" s="8" t="s">
        <v>198</v>
      </c>
      <c r="J15" s="7">
        <v>6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5</v>
      </c>
      <c r="D16" s="9" t="s">
        <v>33</v>
      </c>
      <c r="E16" s="10" t="s">
        <v>76</v>
      </c>
      <c r="F16" s="9" t="s">
        <v>113</v>
      </c>
      <c r="G16" s="10" t="s">
        <v>143</v>
      </c>
      <c r="H16" s="9" t="s">
        <v>173</v>
      </c>
      <c r="I16" s="10" t="s">
        <v>211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6</v>
      </c>
      <c r="D17" s="7" t="s">
        <v>34</v>
      </c>
      <c r="E17" s="8" t="s">
        <v>77</v>
      </c>
      <c r="F17" s="7" t="s">
        <v>114</v>
      </c>
      <c r="G17" s="8" t="s">
        <v>144</v>
      </c>
      <c r="H17" s="7" t="s">
        <v>171</v>
      </c>
      <c r="I17" s="10" t="s">
        <v>211</v>
      </c>
      <c r="J17" s="7">
        <v>1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7</v>
      </c>
      <c r="D18" s="9" t="s">
        <v>35</v>
      </c>
      <c r="E18" s="10" t="s">
        <v>78</v>
      </c>
      <c r="F18" s="9" t="s">
        <v>212</v>
      </c>
      <c r="G18" s="10" t="s">
        <v>145</v>
      </c>
      <c r="H18" s="9" t="s">
        <v>174</v>
      </c>
      <c r="I18" s="10" t="s">
        <v>211</v>
      </c>
      <c r="J18" s="9">
        <v>1</v>
      </c>
      <c r="K18" s="9"/>
    </row>
    <row r="19" spans="1:11" ht="36.75" thickBot="1" x14ac:dyDescent="0.3">
      <c r="A19" s="1"/>
      <c r="B19" s="11">
        <f>ROW(B19) - ROW($B$2)</f>
        <v>17</v>
      </c>
      <c r="C19" s="12" t="s">
        <v>8</v>
      </c>
      <c r="D19" s="7" t="s">
        <v>36</v>
      </c>
      <c r="E19" s="8" t="s">
        <v>79</v>
      </c>
      <c r="F19" s="9" t="s">
        <v>212</v>
      </c>
      <c r="G19" s="8" t="s">
        <v>146</v>
      </c>
      <c r="H19" s="7" t="s">
        <v>175</v>
      </c>
      <c r="I19" s="10" t="s">
        <v>211</v>
      </c>
      <c r="J19" s="7">
        <v>1</v>
      </c>
      <c r="K19" s="7"/>
    </row>
    <row r="20" spans="1:11" ht="48.75" thickBot="1" x14ac:dyDescent="0.3">
      <c r="A20" s="1"/>
      <c r="B20" s="11">
        <f t="shared" si="0"/>
        <v>18</v>
      </c>
      <c r="C20" s="13" t="s">
        <v>9</v>
      </c>
      <c r="D20" s="9" t="s">
        <v>37</v>
      </c>
      <c r="E20" s="10" t="s">
        <v>80</v>
      </c>
      <c r="F20" s="9" t="s">
        <v>212</v>
      </c>
      <c r="G20" s="10" t="s">
        <v>147</v>
      </c>
      <c r="H20" s="9" t="s">
        <v>176</v>
      </c>
      <c r="I20" s="10" t="s">
        <v>211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10</v>
      </c>
      <c r="D21" s="7" t="s">
        <v>38</v>
      </c>
      <c r="E21" s="8" t="s">
        <v>81</v>
      </c>
      <c r="F21" s="9" t="s">
        <v>212</v>
      </c>
      <c r="G21" s="8" t="s">
        <v>115</v>
      </c>
      <c r="H21" s="7" t="s">
        <v>174</v>
      </c>
      <c r="I21" s="10" t="s">
        <v>211</v>
      </c>
      <c r="J21" s="7">
        <v>1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11</v>
      </c>
      <c r="D22" s="9" t="s">
        <v>39</v>
      </c>
      <c r="E22" s="10" t="s">
        <v>82</v>
      </c>
      <c r="F22" s="9" t="s">
        <v>212</v>
      </c>
      <c r="G22" s="10" t="s">
        <v>116</v>
      </c>
      <c r="H22" s="9" t="s">
        <v>177</v>
      </c>
      <c r="I22" s="10" t="s">
        <v>199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6</v>
      </c>
      <c r="D23" s="7" t="s">
        <v>40</v>
      </c>
      <c r="E23" s="8" t="s">
        <v>83</v>
      </c>
      <c r="F23" s="7" t="s">
        <v>117</v>
      </c>
      <c r="G23" s="8" t="s">
        <v>148</v>
      </c>
      <c r="H23" s="7" t="s">
        <v>171</v>
      </c>
      <c r="I23" s="8" t="s">
        <v>211</v>
      </c>
      <c r="J23" s="7">
        <v>1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12</v>
      </c>
      <c r="D24" s="9" t="s">
        <v>41</v>
      </c>
      <c r="E24" s="10" t="s">
        <v>84</v>
      </c>
      <c r="F24" s="9" t="s">
        <v>118</v>
      </c>
      <c r="G24" s="10" t="s">
        <v>149</v>
      </c>
      <c r="H24" s="9" t="s">
        <v>178</v>
      </c>
      <c r="I24" s="8" t="s">
        <v>211</v>
      </c>
      <c r="J24" s="9">
        <v>1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12</v>
      </c>
      <c r="D25" s="7" t="s">
        <v>42</v>
      </c>
      <c r="E25" s="8" t="s">
        <v>85</v>
      </c>
      <c r="F25" s="7" t="s">
        <v>118</v>
      </c>
      <c r="G25" s="8" t="s">
        <v>150</v>
      </c>
      <c r="H25" s="7" t="s">
        <v>178</v>
      </c>
      <c r="I25" s="8" t="s">
        <v>211</v>
      </c>
      <c r="J25" s="7">
        <v>1</v>
      </c>
      <c r="K25" s="7"/>
    </row>
    <row r="26" spans="1:11" ht="48.75" thickBot="1" x14ac:dyDescent="0.3">
      <c r="A26" s="1"/>
      <c r="B26" s="11">
        <f t="shared" si="0"/>
        <v>24</v>
      </c>
      <c r="C26" s="13" t="s">
        <v>12</v>
      </c>
      <c r="D26" s="9" t="s">
        <v>43</v>
      </c>
      <c r="E26" s="10" t="s">
        <v>86</v>
      </c>
      <c r="F26" s="9" t="s">
        <v>212</v>
      </c>
      <c r="G26" s="10" t="s">
        <v>119</v>
      </c>
      <c r="H26" s="9" t="s">
        <v>179</v>
      </c>
      <c r="I26" s="8" t="s">
        <v>211</v>
      </c>
      <c r="J26" s="9">
        <v>1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13</v>
      </c>
      <c r="D27" s="7" t="s">
        <v>44</v>
      </c>
      <c r="E27" s="8" t="s">
        <v>87</v>
      </c>
      <c r="F27" s="7" t="s">
        <v>120</v>
      </c>
      <c r="G27" s="8" t="s">
        <v>151</v>
      </c>
      <c r="H27" s="7" t="s">
        <v>180</v>
      </c>
      <c r="I27" s="8" t="s">
        <v>211</v>
      </c>
      <c r="J27" s="7">
        <v>2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14</v>
      </c>
      <c r="D28" s="9" t="s">
        <v>45</v>
      </c>
      <c r="E28" s="10" t="s">
        <v>88</v>
      </c>
      <c r="F28" s="9" t="s">
        <v>121</v>
      </c>
      <c r="G28" s="10" t="s">
        <v>152</v>
      </c>
      <c r="H28" s="9" t="s">
        <v>168</v>
      </c>
      <c r="I28" s="10" t="s">
        <v>200</v>
      </c>
      <c r="J28" s="9">
        <v>1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15</v>
      </c>
      <c r="D29" s="7" t="s">
        <v>46</v>
      </c>
      <c r="E29" s="8" t="s">
        <v>89</v>
      </c>
      <c r="F29" s="7" t="s">
        <v>121</v>
      </c>
      <c r="G29" s="8" t="s">
        <v>153</v>
      </c>
      <c r="H29" s="7" t="s">
        <v>168</v>
      </c>
      <c r="I29" s="8" t="s">
        <v>201</v>
      </c>
      <c r="J29" s="7">
        <v>11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14</v>
      </c>
      <c r="D30" s="9" t="s">
        <v>47</v>
      </c>
      <c r="E30" s="10" t="s">
        <v>90</v>
      </c>
      <c r="F30" s="9" t="s">
        <v>121</v>
      </c>
      <c r="G30" s="10" t="s">
        <v>154</v>
      </c>
      <c r="H30" s="9" t="s">
        <v>181</v>
      </c>
      <c r="I30" s="10" t="s">
        <v>202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14</v>
      </c>
      <c r="D31" s="7" t="s">
        <v>48</v>
      </c>
      <c r="E31" s="8" t="s">
        <v>91</v>
      </c>
      <c r="F31" s="7" t="s">
        <v>121</v>
      </c>
      <c r="G31" s="8" t="s">
        <v>155</v>
      </c>
      <c r="H31" s="7" t="s">
        <v>168</v>
      </c>
      <c r="I31" s="8" t="s">
        <v>195</v>
      </c>
      <c r="J31" s="7">
        <v>2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14</v>
      </c>
      <c r="D32" s="9" t="s">
        <v>49</v>
      </c>
      <c r="E32" s="10" t="s">
        <v>92</v>
      </c>
      <c r="F32" s="9" t="s">
        <v>121</v>
      </c>
      <c r="G32" s="10" t="s">
        <v>156</v>
      </c>
      <c r="H32" s="9" t="s">
        <v>168</v>
      </c>
      <c r="I32" s="10" t="s">
        <v>203</v>
      </c>
      <c r="J32" s="9">
        <v>13</v>
      </c>
      <c r="K32" s="9"/>
    </row>
    <row r="33" spans="1:11" ht="15.75" thickBot="1" x14ac:dyDescent="0.3">
      <c r="A33" s="1"/>
      <c r="B33" s="11"/>
      <c r="C33" s="13" t="s">
        <v>14</v>
      </c>
      <c r="D33" s="15" t="s">
        <v>213</v>
      </c>
      <c r="E33" s="16" t="s">
        <v>92</v>
      </c>
      <c r="F33" s="15" t="s">
        <v>121</v>
      </c>
      <c r="G33" s="16" t="s">
        <v>156</v>
      </c>
      <c r="H33" s="15" t="s">
        <v>168</v>
      </c>
      <c r="I33" s="16" t="s">
        <v>203</v>
      </c>
      <c r="J33" s="15">
        <v>1</v>
      </c>
      <c r="K33" s="17" t="s">
        <v>214</v>
      </c>
    </row>
    <row r="34" spans="1:11" ht="15.75" thickBot="1" x14ac:dyDescent="0.3">
      <c r="A34" s="1"/>
      <c r="B34" s="11">
        <f>ROW(B34) - ROW($B$2)</f>
        <v>32</v>
      </c>
      <c r="C34" s="12" t="s">
        <v>14</v>
      </c>
      <c r="D34" s="7" t="s">
        <v>50</v>
      </c>
      <c r="E34" s="8" t="s">
        <v>93</v>
      </c>
      <c r="F34" s="7" t="s">
        <v>121</v>
      </c>
      <c r="G34" s="8" t="s">
        <v>157</v>
      </c>
      <c r="H34" s="7" t="s">
        <v>168</v>
      </c>
      <c r="I34" s="8" t="s">
        <v>204</v>
      </c>
      <c r="J34" s="7">
        <v>4</v>
      </c>
      <c r="K34" s="7"/>
    </row>
    <row r="35" spans="1:11" ht="15.75" thickBot="1" x14ac:dyDescent="0.3">
      <c r="A35" s="1"/>
      <c r="B35" s="11">
        <f t="shared" si="0"/>
        <v>33</v>
      </c>
      <c r="C35" s="13" t="s">
        <v>14</v>
      </c>
      <c r="D35" s="9" t="s">
        <v>51</v>
      </c>
      <c r="E35" s="10" t="s">
        <v>94</v>
      </c>
      <c r="F35" s="9" t="s">
        <v>121</v>
      </c>
      <c r="G35" s="10" t="s">
        <v>158</v>
      </c>
      <c r="H35" s="9" t="s">
        <v>168</v>
      </c>
      <c r="I35" s="10" t="s">
        <v>205</v>
      </c>
      <c r="J35" s="9">
        <v>2</v>
      </c>
      <c r="K35" s="9"/>
    </row>
    <row r="36" spans="1:11" ht="15.75" thickBot="1" x14ac:dyDescent="0.3">
      <c r="A36" s="1"/>
      <c r="B36" s="11">
        <f>ROW(B36) - ROW($B$2)</f>
        <v>34</v>
      </c>
      <c r="C36" s="12" t="s">
        <v>14</v>
      </c>
      <c r="D36" s="7" t="s">
        <v>52</v>
      </c>
      <c r="E36" s="8" t="s">
        <v>95</v>
      </c>
      <c r="F36" s="7" t="s">
        <v>122</v>
      </c>
      <c r="G36" s="8" t="s">
        <v>159</v>
      </c>
      <c r="H36" s="7" t="s">
        <v>168</v>
      </c>
      <c r="I36" s="8" t="s">
        <v>206</v>
      </c>
      <c r="J36" s="7">
        <v>1</v>
      </c>
      <c r="K36" s="7"/>
    </row>
    <row r="37" spans="1:11" ht="15.75" thickBot="1" x14ac:dyDescent="0.3">
      <c r="A37" s="1"/>
      <c r="B37" s="11">
        <f t="shared" si="0"/>
        <v>35</v>
      </c>
      <c r="C37" s="13"/>
      <c r="D37" s="9" t="s">
        <v>53</v>
      </c>
      <c r="E37" s="10" t="s">
        <v>96</v>
      </c>
      <c r="F37" s="9" t="s">
        <v>111</v>
      </c>
      <c r="G37" s="10" t="s">
        <v>160</v>
      </c>
      <c r="H37" s="9" t="s">
        <v>168</v>
      </c>
      <c r="I37" s="10" t="s">
        <v>207</v>
      </c>
      <c r="J37" s="9">
        <v>1</v>
      </c>
      <c r="K37" s="9"/>
    </row>
    <row r="38" spans="1:11" ht="15.75" thickBot="1" x14ac:dyDescent="0.3">
      <c r="A38" s="1"/>
      <c r="B38" s="11">
        <f>ROW(B38) - ROW($B$2)</f>
        <v>36</v>
      </c>
      <c r="C38" s="12" t="s">
        <v>14</v>
      </c>
      <c r="D38" s="7" t="s">
        <v>54</v>
      </c>
      <c r="E38" s="8" t="s">
        <v>97</v>
      </c>
      <c r="F38" s="7" t="s">
        <v>121</v>
      </c>
      <c r="G38" s="8" t="s">
        <v>161</v>
      </c>
      <c r="H38" s="7" t="s">
        <v>168</v>
      </c>
      <c r="I38" s="8" t="s">
        <v>207</v>
      </c>
      <c r="J38" s="7">
        <v>2</v>
      </c>
      <c r="K38" s="7"/>
    </row>
    <row r="39" spans="1:11" ht="15.75" thickBot="1" x14ac:dyDescent="0.3">
      <c r="A39" s="1"/>
      <c r="B39" s="11">
        <f t="shared" si="0"/>
        <v>37</v>
      </c>
      <c r="C39" s="13" t="s">
        <v>16</v>
      </c>
      <c r="D39" s="9" t="s">
        <v>55</v>
      </c>
      <c r="E39" s="10" t="s">
        <v>98</v>
      </c>
      <c r="F39" s="9" t="s">
        <v>123</v>
      </c>
      <c r="G39" s="10" t="s">
        <v>123</v>
      </c>
      <c r="H39" s="9" t="s">
        <v>182</v>
      </c>
      <c r="I39" s="10" t="s">
        <v>211</v>
      </c>
      <c r="J39" s="9">
        <v>2</v>
      </c>
      <c r="K39" s="9"/>
    </row>
    <row r="40" spans="1:11" ht="36.75" thickBot="1" x14ac:dyDescent="0.3">
      <c r="A40" s="1"/>
      <c r="B40" s="11">
        <f>ROW(B40) - ROW($B$2)</f>
        <v>38</v>
      </c>
      <c r="C40" s="12" t="s">
        <v>17</v>
      </c>
      <c r="D40" s="7" t="s">
        <v>56</v>
      </c>
      <c r="E40" s="8" t="s">
        <v>99</v>
      </c>
      <c r="F40" s="9" t="s">
        <v>212</v>
      </c>
      <c r="G40" s="8" t="s">
        <v>124</v>
      </c>
      <c r="H40" s="7" t="s">
        <v>174</v>
      </c>
      <c r="I40" s="10" t="s">
        <v>211</v>
      </c>
      <c r="J40" s="7">
        <v>6</v>
      </c>
      <c r="K40" s="7"/>
    </row>
    <row r="41" spans="1:11" ht="24.75" thickBot="1" x14ac:dyDescent="0.3">
      <c r="A41" s="1"/>
      <c r="B41" s="11">
        <f t="shared" si="0"/>
        <v>39</v>
      </c>
      <c r="C41" s="13" t="s">
        <v>18</v>
      </c>
      <c r="D41" s="9" t="s">
        <v>57</v>
      </c>
      <c r="E41" s="10" t="s">
        <v>100</v>
      </c>
      <c r="F41" s="9" t="s">
        <v>125</v>
      </c>
      <c r="G41" s="10" t="s">
        <v>162</v>
      </c>
      <c r="H41" s="9" t="s">
        <v>183</v>
      </c>
      <c r="I41" s="10" t="s">
        <v>211</v>
      </c>
      <c r="J41" s="9">
        <v>1</v>
      </c>
      <c r="K41" s="9"/>
    </row>
    <row r="42" spans="1:11" ht="15.75" thickBot="1" x14ac:dyDescent="0.3">
      <c r="A42" s="1"/>
      <c r="B42" s="11">
        <f>ROW(B42) - ROW($B$2)</f>
        <v>40</v>
      </c>
      <c r="C42" s="12" t="s">
        <v>18</v>
      </c>
      <c r="D42" s="7" t="s">
        <v>58</v>
      </c>
      <c r="E42" s="8" t="s">
        <v>101</v>
      </c>
      <c r="F42" s="7" t="s">
        <v>126</v>
      </c>
      <c r="G42" s="8" t="s">
        <v>163</v>
      </c>
      <c r="H42" s="7" t="s">
        <v>184</v>
      </c>
      <c r="I42" s="10" t="s">
        <v>211</v>
      </c>
      <c r="J42" s="7">
        <v>1</v>
      </c>
      <c r="K42" s="7"/>
    </row>
    <row r="43" spans="1:11" ht="15.75" thickBot="1" x14ac:dyDescent="0.3">
      <c r="A43" s="1"/>
      <c r="B43" s="11">
        <f t="shared" si="0"/>
        <v>41</v>
      </c>
      <c r="C43" s="13" t="s">
        <v>18</v>
      </c>
      <c r="D43" s="9" t="s">
        <v>59</v>
      </c>
      <c r="E43" s="10" t="s">
        <v>102</v>
      </c>
      <c r="F43" s="9" t="s">
        <v>127</v>
      </c>
      <c r="G43" s="10" t="s">
        <v>164</v>
      </c>
      <c r="H43" s="9" t="s">
        <v>185</v>
      </c>
      <c r="I43" s="10" t="s">
        <v>211</v>
      </c>
      <c r="J43" s="9">
        <v>1</v>
      </c>
      <c r="K43" s="9"/>
    </row>
    <row r="44" spans="1:11" ht="15.75" thickBot="1" x14ac:dyDescent="0.3">
      <c r="A44" s="1"/>
      <c r="B44" s="11">
        <f>ROW(B44) - ROW($B$2)</f>
        <v>42</v>
      </c>
      <c r="C44" s="12" t="s">
        <v>18</v>
      </c>
      <c r="D44" s="7" t="s">
        <v>60</v>
      </c>
      <c r="E44" s="8" t="s">
        <v>103</v>
      </c>
      <c r="F44" s="7" t="s">
        <v>128</v>
      </c>
      <c r="G44" s="8" t="s">
        <v>165</v>
      </c>
      <c r="H44" s="7" t="s">
        <v>173</v>
      </c>
      <c r="I44" s="10" t="s">
        <v>211</v>
      </c>
      <c r="J44" s="7">
        <v>1</v>
      </c>
      <c r="K44" s="7"/>
    </row>
    <row r="45" spans="1:11" ht="15.75" thickBot="1" x14ac:dyDescent="0.3">
      <c r="A45" s="1"/>
      <c r="B45" s="11">
        <f t="shared" si="0"/>
        <v>43</v>
      </c>
      <c r="C45" s="13" t="s">
        <v>18</v>
      </c>
      <c r="D45" s="9" t="s">
        <v>61</v>
      </c>
      <c r="E45" s="10" t="s">
        <v>104</v>
      </c>
      <c r="F45" s="9" t="s">
        <v>129</v>
      </c>
      <c r="G45" s="10" t="s">
        <v>166</v>
      </c>
      <c r="H45" s="9" t="s">
        <v>186</v>
      </c>
      <c r="I45" s="10" t="s">
        <v>211</v>
      </c>
      <c r="J45" s="9">
        <v>1</v>
      </c>
      <c r="K45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2025-07-14T15:31:33Z</dcterms:modified>
</cp:coreProperties>
</file>